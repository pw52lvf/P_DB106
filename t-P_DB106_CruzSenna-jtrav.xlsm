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106\P_DB106\"/>
    </mc:Choice>
  </mc:AlternateContent>
  <xr:revisionPtr revIDLastSave="0" documentId="13_ncr:1_{144633F2-91C8-47C3-ABDA-FDF363A6FE08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/>
  <c r="B13" i="11" l="1"/>
</calcChain>
</file>

<file path=xl/sharedStrings.xml><?xml version="1.0" encoding="utf-8"?>
<sst xmlns="http://schemas.openxmlformats.org/spreadsheetml/2006/main" count="184" uniqueCount="41">
  <si>
    <t>Module :</t>
  </si>
  <si>
    <t>Prénom - nom :</t>
  </si>
  <si>
    <t>Senna Cruz</t>
  </si>
  <si>
    <t>Classe :</t>
  </si>
  <si>
    <t>CID2A</t>
  </si>
  <si>
    <t>Lieu :</t>
  </si>
  <si>
    <t>Vennes, B13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</si>
  <si>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</si>
  <si>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</si>
  <si>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</si>
  <si>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</si>
  <si>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</si>
  <si>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</si>
  <si>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</si>
  <si>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</si>
  <si>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</si>
  <si>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</si>
  <si>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</si>
  <si>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</si>
  <si>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</si>
  <si>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</si>
  <si>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</si>
  <si>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</si>
  <si>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</si>
  <si>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</si>
  <si>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</si>
  <si>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</si>
  <si>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IceScrum</t>
  </si>
  <si>
    <t>Former les requête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</si>
  <si>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</si>
  <si>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</si>
  <si>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</si>
  <si>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</si>
  <si>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</si>
  <si>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</si>
  <si>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</si>
  <si>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</si>
  <si>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</si>
  <si>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</si>
  <si>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Création du rapport</t>
  </si>
  <si>
    <t>Rédaction du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</si>
</sst>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4" sqref="C2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106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45530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45593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9" t="s">
        <v>13</v>
      </c>
      <c r="C19" s="120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6BF32-FFD1-40DF-A1C5-0A66BB95B6FC}">
  <sheetPr codeName="Feuil7"/>
  <dimension ref="A1:BW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75" ht="14.25" thickBot="1" x14ac:dyDescent="0.3">
      <c r="B1" s="87"/>
      <c r="C1" s="87"/>
    </row>
    <row r="2" spans="1:75" ht="42.75" customHeight="1" thickBot="1" x14ac:dyDescent="0.3">
      <c r="A2" s="88"/>
      <c r="B2" s="89" t="s">
        <v>16</v>
      </c>
      <c r="C2" s="90" t="s">
        <v>17</v>
      </c>
      <c r="D2" s="121" t="s">
        <v>29</v>
      </c>
      <c r="E2" s="122"/>
      <c r="F2" s="122"/>
      <c r="G2" s="122"/>
      <c r="H2" s="122"/>
      <c r="I2" s="122"/>
      <c r="J2" s="122"/>
      <c r="K2" s="122"/>
      <c r="L2" s="123"/>
      <c r="M2" s="121" t="s">
        <v>30</v>
      </c>
      <c r="N2" s="122"/>
      <c r="O2" s="122"/>
      <c r="P2" s="122"/>
      <c r="Q2" s="122"/>
      <c r="R2" s="122"/>
      <c r="S2" s="122"/>
      <c r="T2" s="122"/>
      <c r="U2" s="123"/>
      <c r="V2" s="121" t="s">
        <v>31</v>
      </c>
      <c r="W2" s="122"/>
      <c r="X2" s="122"/>
      <c r="Y2" s="122"/>
      <c r="Z2" s="122"/>
      <c r="AA2" s="122"/>
      <c r="AB2" s="122"/>
      <c r="AC2" s="122"/>
      <c r="AD2" s="123"/>
      <c r="AE2" s="121" t="s">
        <v>32</v>
      </c>
      <c r="AF2" s="122"/>
      <c r="AG2" s="122"/>
      <c r="AH2" s="122"/>
      <c r="AI2" s="122"/>
      <c r="AJ2" s="122"/>
      <c r="AK2" s="122"/>
      <c r="AL2" s="122"/>
      <c r="AM2" s="123"/>
      <c r="AN2" s="121" t="s">
        <v>33</v>
      </c>
      <c r="AO2" s="122"/>
      <c r="AP2" s="122"/>
      <c r="AQ2" s="122"/>
      <c r="AR2" s="122"/>
      <c r="AS2" s="122"/>
      <c r="AT2" s="122"/>
      <c r="AU2" s="122"/>
      <c r="AV2" s="123"/>
      <c r="AW2" s="121" t="s">
        <v>34</v>
      </c>
      <c r="AX2" s="122"/>
      <c r="AY2" s="122"/>
      <c r="AZ2" s="122"/>
      <c r="BA2" s="122"/>
      <c r="BB2" s="122"/>
      <c r="BC2" s="122"/>
      <c r="BD2" s="122"/>
      <c r="BE2" s="123"/>
      <c r="BF2" s="121" t="s">
        <v>35</v>
      </c>
      <c r="BG2" s="122"/>
      <c r="BH2" s="122"/>
      <c r="BI2" s="122"/>
      <c r="BJ2" s="122"/>
      <c r="BK2" s="122"/>
      <c r="BL2" s="122"/>
      <c r="BM2" s="122"/>
      <c r="BN2" s="123"/>
      <c r="BO2" s="121" t="s">
        <v>36</v>
      </c>
      <c r="BP2" s="122"/>
      <c r="BQ2" s="122"/>
      <c r="BR2" s="122"/>
      <c r="BS2" s="122"/>
      <c r="BT2" s="122"/>
      <c r="BU2" s="122"/>
      <c r="BV2" s="122"/>
      <c r="BW2" s="123"/>
    </row>
    <row r="3" spans="1:75" ht="19.5" customHeight="1" x14ac:dyDescent="0.25">
      <c r="A3" s="88"/>
      <c r="B3" s="124" t="s">
        <v>15</v>
      </c>
      <c r="C3" s="91">
        <v>0</v>
      </c>
      <c r="D3" s="92"/>
      <c r="E3" s="93"/>
      <c r="F3" s="94"/>
      <c r="G3" s="95"/>
      <c r="H3" s="93"/>
      <c r="I3" s="94"/>
      <c r="J3" s="95"/>
      <c r="K3" s="93"/>
      <c r="L3" s="96"/>
      <c r="M3" s="92"/>
      <c r="N3" s="93"/>
      <c r="O3" s="94"/>
      <c r="P3" s="95"/>
      <c r="Q3" s="93"/>
      <c r="R3" s="94"/>
      <c r="S3" s="95"/>
      <c r="T3" s="93"/>
      <c r="U3" s="96"/>
      <c r="V3" s="92"/>
      <c r="W3" s="93"/>
      <c r="X3" s="94"/>
      <c r="Y3" s="95"/>
      <c r="Z3" s="93"/>
      <c r="AA3" s="94"/>
      <c r="AB3" s="95"/>
      <c r="AC3" s="93"/>
      <c r="AD3" s="96"/>
      <c r="AE3" s="92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6"/>
      <c r="AW3" s="92"/>
      <c r="AX3" s="93"/>
      <c r="AY3" s="94"/>
      <c r="AZ3" s="95"/>
      <c r="BA3" s="93"/>
      <c r="BB3" s="94"/>
      <c r="BC3" s="95"/>
      <c r="BD3" s="93"/>
      <c r="BE3" s="96"/>
      <c r="BF3" s="92"/>
      <c r="BG3" s="93"/>
      <c r="BH3" s="94"/>
      <c r="BI3" s="95"/>
      <c r="BJ3" s="93"/>
      <c r="BK3" s="94"/>
      <c r="BL3" s="95"/>
      <c r="BM3" s="93"/>
      <c r="BN3" s="96"/>
      <c r="BO3" s="92"/>
      <c r="BP3" s="93"/>
      <c r="BQ3" s="94"/>
      <c r="BR3" s="95"/>
      <c r="BS3" s="93"/>
      <c r="BT3" s="94"/>
      <c r="BU3" s="95"/>
      <c r="BV3" s="93"/>
      <c r="BW3" s="96"/>
    </row>
    <row r="4" spans="1:75" ht="19.5" customHeight="1" thickBot="1" x14ac:dyDescent="0.3">
      <c r="A4" s="88"/>
      <c r="B4" s="125"/>
      <c r="C4" s="97">
        <v>0</v>
      </c>
      <c r="D4" s="98"/>
      <c r="E4" s="99"/>
      <c r="F4" s="100"/>
      <c r="G4" s="101"/>
      <c r="H4" s="99"/>
      <c r="I4" s="100"/>
      <c r="J4" s="101"/>
      <c r="K4" s="99"/>
      <c r="L4" s="102"/>
      <c r="M4" s="98"/>
      <c r="N4" s="99"/>
      <c r="O4" s="100"/>
      <c r="P4" s="101"/>
      <c r="Q4" s="99"/>
      <c r="R4" s="100"/>
      <c r="S4" s="101"/>
      <c r="T4" s="99"/>
      <c r="U4" s="102"/>
      <c r="V4" s="98"/>
      <c r="W4" s="99"/>
      <c r="X4" s="100"/>
      <c r="Y4" s="101"/>
      <c r="Z4" s="99"/>
      <c r="AA4" s="100"/>
      <c r="AB4" s="101"/>
      <c r="AC4" s="99"/>
      <c r="AD4" s="102"/>
      <c r="AE4" s="98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2"/>
      <c r="AW4" s="98"/>
      <c r="AX4" s="99"/>
      <c r="AY4" s="100"/>
      <c r="AZ4" s="101"/>
      <c r="BA4" s="99"/>
      <c r="BB4" s="100"/>
      <c r="BC4" s="101"/>
      <c r="BD4" s="99"/>
      <c r="BE4" s="102"/>
      <c r="BF4" s="98"/>
      <c r="BG4" s="99"/>
      <c r="BH4" s="100"/>
      <c r="BI4" s="101"/>
      <c r="BJ4" s="99"/>
      <c r="BK4" s="100"/>
      <c r="BL4" s="101"/>
      <c r="BM4" s="99"/>
      <c r="BN4" s="102"/>
      <c r="BO4" s="98"/>
      <c r="BP4" s="99"/>
      <c r="BQ4" s="100"/>
      <c r="BR4" s="101"/>
      <c r="BS4" s="99"/>
      <c r="BT4" s="100"/>
      <c r="BU4" s="101"/>
      <c r="BV4" s="99"/>
      <c r="BW4" s="102"/>
    </row>
    <row r="5" spans="1:75" ht="19.5" customHeight="1" x14ac:dyDescent="0.25">
      <c r="B5" s="126" t="str">
        <f>Donnees!$C$21</f>
        <v>IceScrum</v>
      </c>
      <c r="C5" s="103">
        <v>0</v>
      </c>
      <c r="D5" s="92"/>
      <c r="E5" s="93"/>
      <c r="F5" s="94"/>
      <c r="G5" s="95"/>
      <c r="H5" s="93"/>
      <c r="I5" s="94"/>
      <c r="J5" s="95"/>
      <c r="K5" s="93"/>
      <c r="L5" s="96"/>
      <c r="M5" s="92"/>
      <c r="N5" s="93"/>
      <c r="O5" s="94"/>
      <c r="P5" s="95"/>
      <c r="Q5" s="93"/>
      <c r="R5" s="94"/>
      <c r="S5" s="95"/>
      <c r="T5" s="93"/>
      <c r="U5" s="96"/>
      <c r="V5" s="92"/>
      <c r="W5" s="93"/>
      <c r="X5" s="94"/>
      <c r="Y5" s="95"/>
      <c r="Z5" s="93"/>
      <c r="AA5" s="94"/>
      <c r="AB5" s="95"/>
      <c r="AC5" s="93"/>
      <c r="AD5" s="96"/>
      <c r="AE5" s="92"/>
      <c r="AF5" s="93"/>
      <c r="AG5" s="94"/>
      <c r="AH5" s="95"/>
      <c r="AI5" s="93"/>
      <c r="AJ5" s="94"/>
      <c r="AK5" s="95"/>
      <c r="AL5" s="93"/>
      <c r="AM5" s="96"/>
      <c r="AN5" s="92"/>
      <c r="AO5" s="93"/>
      <c r="AP5" s="94"/>
      <c r="AQ5" s="95"/>
      <c r="AR5" s="93"/>
      <c r="AS5" s="94"/>
      <c r="AT5" s="95"/>
      <c r="AU5" s="93"/>
      <c r="AV5" s="96"/>
      <c r="AW5" s="92"/>
      <c r="AX5" s="93"/>
      <c r="AY5" s="94"/>
      <c r="AZ5" s="95"/>
      <c r="BA5" s="93"/>
      <c r="BB5" s="94"/>
      <c r="BC5" s="95"/>
      <c r="BD5" s="93"/>
      <c r="BE5" s="96"/>
      <c r="BF5" s="92"/>
      <c r="BG5" s="93"/>
      <c r="BH5" s="94"/>
      <c r="BI5" s="95"/>
      <c r="BJ5" s="93"/>
      <c r="BK5" s="94"/>
      <c r="BL5" s="95"/>
      <c r="BM5" s="93"/>
      <c r="BN5" s="96"/>
      <c r="BO5" s="92"/>
      <c r="BP5" s="93"/>
      <c r="BQ5" s="94"/>
      <c r="BR5" s="95"/>
      <c r="BS5" s="93"/>
      <c r="BT5" s="94"/>
      <c r="BU5" s="95"/>
      <c r="BV5" s="93"/>
      <c r="BW5" s="96"/>
    </row>
    <row r="6" spans="1:75" ht="19.5" customHeight="1" thickBot="1" x14ac:dyDescent="0.3">
      <c r="B6" s="127"/>
      <c r="C6" s="104">
        <v>0</v>
      </c>
      <c r="D6" s="98"/>
      <c r="E6" s="99"/>
      <c r="F6" s="100"/>
      <c r="G6" s="101"/>
      <c r="H6" s="99"/>
      <c r="I6" s="100"/>
      <c r="J6" s="101"/>
      <c r="K6" s="99"/>
      <c r="L6" s="102"/>
      <c r="M6" s="98"/>
      <c r="N6" s="99"/>
      <c r="O6" s="100"/>
      <c r="P6" s="101"/>
      <c r="Q6" s="99"/>
      <c r="R6" s="100"/>
      <c r="S6" s="101"/>
      <c r="T6" s="99"/>
      <c r="U6" s="102"/>
      <c r="V6" s="98"/>
      <c r="W6" s="99"/>
      <c r="X6" s="100"/>
      <c r="Y6" s="101"/>
      <c r="Z6" s="99"/>
      <c r="AA6" s="100"/>
      <c r="AB6" s="101"/>
      <c r="AC6" s="99"/>
      <c r="AD6" s="102"/>
      <c r="AE6" s="98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2"/>
      <c r="AW6" s="98"/>
      <c r="AX6" s="99"/>
      <c r="AY6" s="100"/>
      <c r="AZ6" s="101"/>
      <c r="BA6" s="99"/>
      <c r="BB6" s="100"/>
      <c r="BC6" s="101"/>
      <c r="BD6" s="99"/>
      <c r="BE6" s="102"/>
      <c r="BF6" s="98"/>
      <c r="BG6" s="99"/>
      <c r="BH6" s="100"/>
      <c r="BI6" s="101"/>
      <c r="BJ6" s="99"/>
      <c r="BK6" s="100"/>
      <c r="BL6" s="101"/>
      <c r="BM6" s="99"/>
      <c r="BN6" s="102"/>
      <c r="BO6" s="98"/>
      <c r="BP6" s="99"/>
      <c r="BQ6" s="100"/>
      <c r="BR6" s="101"/>
      <c r="BS6" s="99"/>
      <c r="BT6" s="100"/>
      <c r="BU6" s="101"/>
      <c r="BV6" s="99"/>
      <c r="BW6" s="102"/>
    </row>
    <row r="7" spans="1:75" ht="19.5" customHeight="1" x14ac:dyDescent="0.25">
      <c r="B7" s="128" t="str">
        <f>Donnees!$C$22</f>
        <v>Former les requête</v>
      </c>
      <c r="C7" s="103">
        <v>0</v>
      </c>
      <c r="D7" s="92"/>
      <c r="E7" s="93"/>
      <c r="F7" s="94"/>
      <c r="G7" s="95"/>
      <c r="H7" s="93"/>
      <c r="I7" s="94"/>
      <c r="J7" s="95"/>
      <c r="K7" s="93"/>
      <c r="L7" s="96"/>
      <c r="M7" s="92"/>
      <c r="N7" s="93"/>
      <c r="O7" s="94"/>
      <c r="P7" s="95"/>
      <c r="Q7" s="93"/>
      <c r="R7" s="94"/>
      <c r="S7" s="95"/>
      <c r="T7" s="93"/>
      <c r="U7" s="96"/>
      <c r="V7" s="92"/>
      <c r="W7" s="93"/>
      <c r="X7" s="94"/>
      <c r="Y7" s="95"/>
      <c r="Z7" s="93"/>
      <c r="AA7" s="94"/>
      <c r="AB7" s="95"/>
      <c r="AC7" s="93"/>
      <c r="AD7" s="96"/>
      <c r="AE7" s="92"/>
      <c r="AF7" s="93"/>
      <c r="AG7" s="94"/>
      <c r="AH7" s="95"/>
      <c r="AI7" s="93"/>
      <c r="AJ7" s="94"/>
      <c r="AK7" s="95"/>
      <c r="AL7" s="93"/>
      <c r="AM7" s="96"/>
      <c r="AN7" s="92"/>
      <c r="AO7" s="93"/>
      <c r="AP7" s="94"/>
      <c r="AQ7" s="95"/>
      <c r="AR7" s="93"/>
      <c r="AS7" s="94"/>
      <c r="AT7" s="95"/>
      <c r="AU7" s="93"/>
      <c r="AV7" s="96"/>
      <c r="AW7" s="92"/>
      <c r="AX7" s="93"/>
      <c r="AY7" s="94"/>
      <c r="AZ7" s="95"/>
      <c r="BA7" s="93"/>
      <c r="BB7" s="94"/>
      <c r="BC7" s="95"/>
      <c r="BD7" s="93"/>
      <c r="BE7" s="96"/>
      <c r="BF7" s="92"/>
      <c r="BG7" s="93"/>
      <c r="BH7" s="94"/>
      <c r="BI7" s="95"/>
      <c r="BJ7" s="93"/>
      <c r="BK7" s="94"/>
      <c r="BL7" s="95"/>
      <c r="BM7" s="93"/>
      <c r="BN7" s="96"/>
      <c r="BO7" s="92"/>
      <c r="BP7" s="93"/>
      <c r="BQ7" s="94"/>
      <c r="BR7" s="95"/>
      <c r="BS7" s="93"/>
      <c r="BT7" s="94"/>
      <c r="BU7" s="95"/>
      <c r="BV7" s="93"/>
      <c r="BW7" s="96"/>
    </row>
    <row r="8" spans="1:75" ht="19.5" customHeight="1" x14ac:dyDescent="0.25">
      <c r="B8" s="127"/>
      <c r="C8" s="104">
        <v>0</v>
      </c>
      <c r="D8" s="98"/>
      <c r="E8" s="99"/>
      <c r="F8" s="100"/>
      <c r="G8" s="101"/>
      <c r="H8" s="99"/>
      <c r="I8" s="100"/>
      <c r="J8" s="101"/>
      <c r="K8" s="99"/>
      <c r="L8" s="102"/>
      <c r="M8" s="98"/>
      <c r="N8" s="99"/>
      <c r="O8" s="100"/>
      <c r="P8" s="101"/>
      <c r="Q8" s="99"/>
      <c r="R8" s="100"/>
      <c r="S8" s="101"/>
      <c r="T8" s="99"/>
      <c r="U8" s="102"/>
      <c r="V8" s="98"/>
      <c r="W8" s="99"/>
      <c r="X8" s="100"/>
      <c r="Y8" s="101"/>
      <c r="Z8" s="99"/>
      <c r="AA8" s="100"/>
      <c r="AB8" s="101"/>
      <c r="AC8" s="99"/>
      <c r="AD8" s="102"/>
      <c r="AE8" s="98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2"/>
      <c r="AW8" s="98"/>
      <c r="AX8" s="99"/>
      <c r="AY8" s="100"/>
      <c r="AZ8" s="101"/>
      <c r="BA8" s="99"/>
      <c r="BB8" s="100"/>
      <c r="BC8" s="101"/>
      <c r="BD8" s="99"/>
      <c r="BE8" s="102"/>
      <c r="BF8" s="98"/>
      <c r="BG8" s="99"/>
      <c r="BH8" s="100"/>
      <c r="BI8" s="101"/>
      <c r="BJ8" s="99"/>
      <c r="BK8" s="100"/>
      <c r="BL8" s="101"/>
      <c r="BM8" s="99"/>
      <c r="BN8" s="102"/>
      <c r="BO8" s="98"/>
      <c r="BP8" s="99"/>
      <c r="BQ8" s="100"/>
      <c r="BR8" s="101"/>
      <c r="BS8" s="99"/>
      <c r="BT8" s="100"/>
      <c r="BU8" s="101"/>
      <c r="BV8" s="99"/>
      <c r="BW8" s="102"/>
    </row>
    <row r="9" spans="1:75" ht="19.5" customHeight="1" x14ac:dyDescent="0.25">
      <c r="B9" s="105" t="s">
        <v>18</v>
      </c>
      <c r="C9" s="106">
        <f>SUM($C$3,$C$5,$C$7)</f>
        <v>0</v>
      </c>
      <c r="D9" s="107"/>
      <c r="E9" s="108"/>
      <c r="F9" s="108"/>
      <c r="G9" s="108"/>
      <c r="H9" s="108"/>
      <c r="I9" s="108"/>
      <c r="J9" s="108"/>
      <c r="K9" s="108"/>
      <c r="L9" s="109"/>
      <c r="M9" s="107"/>
      <c r="N9" s="108"/>
      <c r="O9" s="108"/>
      <c r="P9" s="108"/>
      <c r="Q9" s="108"/>
      <c r="R9" s="108"/>
      <c r="S9" s="108"/>
      <c r="T9" s="108"/>
      <c r="U9" s="109"/>
      <c r="V9" s="107"/>
      <c r="W9" s="108"/>
      <c r="X9" s="108"/>
      <c r="Y9" s="108"/>
      <c r="Z9" s="108"/>
      <c r="AA9" s="108"/>
      <c r="AB9" s="108"/>
      <c r="AC9" s="108"/>
      <c r="AD9" s="109"/>
      <c r="AE9" s="107"/>
      <c r="AF9" s="108"/>
      <c r="AG9" s="108"/>
      <c r="AH9" s="108"/>
      <c r="AI9" s="108"/>
      <c r="AJ9" s="108"/>
      <c r="AK9" s="108"/>
      <c r="AL9" s="108"/>
      <c r="AM9" s="109"/>
      <c r="AN9" s="107"/>
      <c r="AO9" s="108"/>
      <c r="AP9" s="108"/>
      <c r="AQ9" s="108"/>
      <c r="AR9" s="108"/>
      <c r="AS9" s="108"/>
      <c r="AT9" s="108"/>
      <c r="AU9" s="108"/>
      <c r="AV9" s="109"/>
      <c r="AW9" s="107"/>
      <c r="AX9" s="108"/>
      <c r="AY9" s="108"/>
      <c r="AZ9" s="108"/>
      <c r="BA9" s="108"/>
      <c r="BB9" s="108"/>
      <c r="BC9" s="108"/>
      <c r="BD9" s="108"/>
      <c r="BE9" s="109"/>
      <c r="BF9" s="107"/>
      <c r="BG9" s="108"/>
      <c r="BH9" s="108"/>
      <c r="BI9" s="108"/>
      <c r="BJ9" s="108"/>
      <c r="BK9" s="108"/>
      <c r="BL9" s="108"/>
      <c r="BM9" s="108"/>
      <c r="BN9" s="109"/>
      <c r="BO9" s="107"/>
      <c r="BP9" s="108"/>
      <c r="BQ9" s="108"/>
      <c r="BR9" s="108"/>
      <c r="BS9" s="108"/>
      <c r="BT9" s="108"/>
      <c r="BU9" s="108"/>
      <c r="BV9" s="108"/>
      <c r="BW9" s="109"/>
    </row>
    <row r="10" spans="1:75" ht="19.5" customHeight="1" thickBot="1" x14ac:dyDescent="0.3">
      <c r="B10" s="110" t="s">
        <v>19</v>
      </c>
      <c r="C10" s="111">
        <f>SUM($C$4,$C$6,$C$8)</f>
        <v>0</v>
      </c>
      <c r="D10" s="112"/>
      <c r="E10" s="113"/>
      <c r="F10" s="113"/>
      <c r="G10" s="113"/>
      <c r="H10" s="113"/>
      <c r="I10" s="113"/>
      <c r="J10" s="113"/>
      <c r="K10" s="113"/>
      <c r="L10" s="114"/>
      <c r="M10" s="112"/>
      <c r="N10" s="113"/>
      <c r="O10" s="113"/>
      <c r="P10" s="113"/>
      <c r="Q10" s="113"/>
      <c r="R10" s="113"/>
      <c r="S10" s="113"/>
      <c r="T10" s="113"/>
      <c r="U10" s="114"/>
      <c r="V10" s="112"/>
      <c r="W10" s="113"/>
      <c r="X10" s="113"/>
      <c r="Y10" s="113"/>
      <c r="Z10" s="113"/>
      <c r="AA10" s="113"/>
      <c r="AB10" s="113"/>
      <c r="AC10" s="113"/>
      <c r="AD10" s="114"/>
      <c r="AE10" s="112"/>
      <c r="AF10" s="113"/>
      <c r="AG10" s="113"/>
      <c r="AH10" s="113"/>
      <c r="AI10" s="113"/>
      <c r="AJ10" s="113"/>
      <c r="AK10" s="113"/>
      <c r="AL10" s="113"/>
      <c r="AM10" s="114"/>
      <c r="AN10" s="112"/>
      <c r="AO10" s="113"/>
      <c r="AP10" s="113"/>
      <c r="AQ10" s="113"/>
      <c r="AR10" s="113"/>
      <c r="AS10" s="113"/>
      <c r="AT10" s="113"/>
      <c r="AU10" s="113"/>
      <c r="AV10" s="114"/>
      <c r="AW10" s="112"/>
      <c r="AX10" s="113"/>
      <c r="AY10" s="113"/>
      <c r="AZ10" s="113"/>
      <c r="BA10" s="113"/>
      <c r="BB10" s="113"/>
      <c r="BC10" s="113"/>
      <c r="BD10" s="113"/>
      <c r="BE10" s="114"/>
      <c r="BF10" s="112"/>
      <c r="BG10" s="113"/>
      <c r="BH10" s="113"/>
      <c r="BI10" s="113"/>
      <c r="BJ10" s="113"/>
      <c r="BK10" s="113"/>
      <c r="BL10" s="113"/>
      <c r="BM10" s="113"/>
      <c r="BN10" s="114"/>
      <c r="BO10" s="112"/>
      <c r="BP10" s="113"/>
      <c r="BQ10" s="113"/>
      <c r="BR10" s="113"/>
      <c r="BS10" s="113"/>
      <c r="BT10" s="113"/>
      <c r="BU10" s="113"/>
      <c r="BV10" s="113"/>
      <c r="BW10" s="114"/>
    </row>
    <row r="16" spans="1:75" ht="19.5" customHeight="1" x14ac:dyDescent="0.25">
      <c r="A16" s="115"/>
    </row>
  </sheetData>
  <sheetProtection sheet="1" objects="1" scenarios="1" insertRows="0" selectLockedCells="1"/>
  <mergeCells count="11">
    <mergeCell ref="AE2:AM2"/>
    <mergeCell ref="AN2:AV2"/>
    <mergeCell ref="AW2:BE2"/>
    <mergeCell ref="BF2:BN2"/>
    <mergeCell ref="BO2:BW2"/>
    <mergeCell ref="V2:AD2"/>
    <mergeCell ref="B3:B4"/>
    <mergeCell ref="B5:B6"/>
    <mergeCell ref="B7:B8"/>
    <mergeCell ref="D2:L2"/>
    <mergeCell ref="M2: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 xr:uid="{36312CA9-4E34-43DC-8D70-D9F63B0F3084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29" t="s">
        <v>15</v>
      </c>
      <c r="C3" s="16">
        <v>0</v>
      </c>
    </row>
    <row r="4" spans="1:4" ht="19.5" customHeight="1" x14ac:dyDescent="0.25">
      <c r="A4" s="19"/>
      <c r="B4" s="130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18</v>
      </c>
      <c r="C3" s="27">
        <v>0</v>
      </c>
    </row>
    <row r="4" spans="2:3" ht="18.75" thickBot="1" x14ac:dyDescent="0.3">
      <c r="B4" s="26" t="s">
        <v>19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20</v>
      </c>
      <c r="B1" s="7">
        <v>1</v>
      </c>
      <c r="C1" s="17"/>
      <c r="D1" s="85"/>
    </row>
    <row r="2" spans="1:4" ht="27.75" thickBot="1" x14ac:dyDescent="0.3">
      <c r="A2" s="8" t="s">
        <v>21</v>
      </c>
      <c r="B2" s="18" t="s">
        <v>22</v>
      </c>
      <c r="C2" s="8" t="s">
        <v>23</v>
      </c>
      <c r="D2" s="8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25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9EDEB-098D-47C9-A94F-E8A2AC54A697}">
  <sheetPr codeName="Feuil5"/>
  <dimension ref="A1:H113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20</v>
      </c>
      <c r="B1" s="7">
        <v>1</v>
      </c>
      <c r="C1" s="17"/>
      <c r="D1" s="85"/>
    </row>
    <row r="2" spans="1:4" ht="27.75" thickBot="1" x14ac:dyDescent="0.3">
      <c r="A2" s="8" t="s">
        <v>21</v>
      </c>
      <c r="B2" s="18" t="s">
        <v>22</v>
      </c>
      <c r="C2" s="8" t="s">
        <v>23</v>
      </c>
      <c r="D2" s="8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25</v>
      </c>
      <c r="B13" s="12">
        <f>SUM(B3:B12)</f>
        <v>0</v>
      </c>
      <c r="C13" s="116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20</v>
      </c>
      <c r="B15" s="7">
        <v>2</v>
      </c>
      <c r="C15" s="17"/>
      <c r="D15" s="85"/>
    </row>
    <row r="16" spans="1:4" ht="27.75" thickBot="1" x14ac:dyDescent="0.3">
      <c r="A16" s="8" t="s">
        <v>21</v>
      </c>
      <c r="B16" s="18" t="s">
        <v>22</v>
      </c>
      <c r="C16" s="8" t="s">
        <v>23</v>
      </c>
      <c r="D16" s="8" t="s">
        <v>24</v>
      </c>
    </row>
    <row r="17" spans="1:8" x14ac:dyDescent="0.25">
      <c r="A17" s="5"/>
      <c r="B17" s="4"/>
      <c r="C17" s="9"/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25</v>
      </c>
      <c r="B27" s="12">
        <f>SUM(B17:B26)</f>
        <v>0</v>
      </c>
      <c r="C27" s="116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20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21</v>
      </c>
      <c r="B30" s="18" t="s">
        <v>22</v>
      </c>
      <c r="C30" s="8" t="s">
        <v>23</v>
      </c>
      <c r="D30" s="8" t="s">
        <v>24</v>
      </c>
      <c r="F30" s="38"/>
      <c r="G30" s="39"/>
      <c r="H30" s="39"/>
    </row>
    <row r="31" spans="1:8" ht="14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25</v>
      </c>
      <c r="B41" s="12">
        <f>SUM(B31:B40)</f>
        <v>0</v>
      </c>
      <c r="C41" s="116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20</v>
      </c>
      <c r="B43" s="7">
        <v>4</v>
      </c>
      <c r="C43" s="17"/>
      <c r="D43" s="85"/>
    </row>
    <row r="44" spans="1:4" ht="27.75" thickBot="1" x14ac:dyDescent="0.3">
      <c r="A44" s="8" t="s">
        <v>21</v>
      </c>
      <c r="B44" s="18" t="s">
        <v>22</v>
      </c>
      <c r="C44" s="8" t="s">
        <v>23</v>
      </c>
      <c r="D44" s="8" t="s">
        <v>24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25</v>
      </c>
      <c r="B55" s="12">
        <f>SUM(B45:B54)</f>
        <v>0</v>
      </c>
      <c r="C55" s="116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20</v>
      </c>
      <c r="B57" s="7">
        <v>5</v>
      </c>
      <c r="C57" s="17"/>
      <c r="D57" s="85"/>
    </row>
    <row r="58" spans="1:4" ht="27.75" thickBot="1" x14ac:dyDescent="0.3">
      <c r="A58" s="8" t="s">
        <v>21</v>
      </c>
      <c r="B58" s="18" t="s">
        <v>22</v>
      </c>
      <c r="C58" s="8" t="s">
        <v>23</v>
      </c>
      <c r="D58" s="8" t="s">
        <v>24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25</v>
      </c>
      <c r="B69" s="12">
        <f>SUM(B59:B68)</f>
        <v>0</v>
      </c>
      <c r="C69" s="116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20</v>
      </c>
      <c r="B71" s="7">
        <v>6</v>
      </c>
      <c r="C71" s="17"/>
      <c r="D71" s="85"/>
    </row>
    <row r="72" spans="1:4" ht="27.75" thickBot="1" x14ac:dyDescent="0.3">
      <c r="A72" s="8" t="s">
        <v>21</v>
      </c>
      <c r="B72" s="18" t="s">
        <v>22</v>
      </c>
      <c r="C72" s="8" t="s">
        <v>23</v>
      </c>
      <c r="D72" s="8" t="s">
        <v>24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25</v>
      </c>
      <c r="B83" s="12">
        <f>SUM(B73:B82)</f>
        <v>0</v>
      </c>
      <c r="C83" s="116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20</v>
      </c>
      <c r="B85" s="7">
        <v>7</v>
      </c>
      <c r="C85" s="17"/>
      <c r="D85" s="85"/>
    </row>
    <row r="86" spans="1:4" ht="27.75" thickBot="1" x14ac:dyDescent="0.3">
      <c r="A86" s="8" t="s">
        <v>21</v>
      </c>
      <c r="B86" s="18" t="s">
        <v>22</v>
      </c>
      <c r="C86" s="8" t="s">
        <v>23</v>
      </c>
      <c r="D86" s="8" t="s">
        <v>24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25</v>
      </c>
      <c r="B97" s="12">
        <f>SUM(B87:B96)</f>
        <v>0</v>
      </c>
      <c r="C97" s="116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20</v>
      </c>
      <c r="B99" s="7">
        <v>8</v>
      </c>
      <c r="C99" s="17"/>
      <c r="D99" s="85"/>
    </row>
    <row r="100" spans="1:4" ht="27.75" thickBot="1" x14ac:dyDescent="0.3">
      <c r="A100" s="8" t="s">
        <v>21</v>
      </c>
      <c r="B100" s="18" t="s">
        <v>22</v>
      </c>
      <c r="C100" s="8" t="s">
        <v>23</v>
      </c>
      <c r="D100" s="8" t="s">
        <v>24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25</v>
      </c>
      <c r="B111" s="12">
        <f>SUM(B101:B110)</f>
        <v>0</v>
      </c>
      <c r="C111" s="116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7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0D9D66C3-674B-4F93-B1A1-0ACF7D38F286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CC5D68F0-21B8-4979-BEC0-8BF870C0B58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EA5E0299-9706-4E3B-A3FB-302C98B58F8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A2594DD-41EB-4B2D-84EF-93755F3A804F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/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5868F-0BE6-428D-BD54-E750E190BCBE}">
  <sheetPr codeName="Feuil9"/>
  <dimension ref="A1:H153"/>
  <sheetViews>
    <sheetView tabSelected="1" topLeftCell="A77" workbookViewId="0">
      <selection activeCell="L92" sqref="L9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>
        <f>Donnees!$C$9</f>
        <v>45530</v>
      </c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 t="s">
        <v>27</v>
      </c>
      <c r="B3" s="4">
        <v>6</v>
      </c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6</v>
      </c>
      <c r="C18" s="118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20</v>
      </c>
      <c r="B20" s="43">
        <v>2</v>
      </c>
      <c r="C20" s="44" t="s">
        <v>26</v>
      </c>
      <c r="D20" s="53">
        <f>$D$1+7</f>
        <v>45537</v>
      </c>
    </row>
    <row r="21" spans="1:8" ht="27.75" thickBot="1" x14ac:dyDescent="0.3">
      <c r="A21" s="45" t="s">
        <v>21</v>
      </c>
      <c r="B21" s="46" t="s">
        <v>22</v>
      </c>
      <c r="C21" s="45" t="s">
        <v>23</v>
      </c>
      <c r="D21" s="45" t="s">
        <v>24</v>
      </c>
    </row>
    <row r="22" spans="1:8" x14ac:dyDescent="0.25">
      <c r="A22" s="5" t="s">
        <v>27</v>
      </c>
      <c r="B22" s="4">
        <v>2</v>
      </c>
      <c r="C22" s="9"/>
      <c r="D22" s="9"/>
    </row>
    <row r="23" spans="1:8" x14ac:dyDescent="0.25">
      <c r="A23" s="1" t="s">
        <v>28</v>
      </c>
      <c r="B23" s="2">
        <v>4</v>
      </c>
      <c r="C23" s="10"/>
      <c r="D23" s="10"/>
    </row>
    <row r="24" spans="1:8" x14ac:dyDescent="0.25">
      <c r="A24" s="1" t="s">
        <v>39</v>
      </c>
      <c r="B24" s="2">
        <v>1</v>
      </c>
      <c r="C24" s="10"/>
      <c r="D24" s="10"/>
    </row>
    <row r="25" spans="1:8" ht="12.75" customHeight="1" x14ac:dyDescent="0.25">
      <c r="A25" s="1" t="s">
        <v>40</v>
      </c>
      <c r="B25" s="2">
        <v>2</v>
      </c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25</v>
      </c>
      <c r="B37" s="47">
        <f>SUM(B22:B36)</f>
        <v>9</v>
      </c>
      <c r="C37" s="118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20</v>
      </c>
      <c r="B39" s="43">
        <v>3</v>
      </c>
      <c r="C39" s="44" t="s">
        <v>26</v>
      </c>
      <c r="D39" s="53">
        <f>$D$20+7</f>
        <v>45544</v>
      </c>
    </row>
    <row r="40" spans="1:8" ht="27.75" thickBot="1" x14ac:dyDescent="0.3">
      <c r="A40" s="45" t="s">
        <v>21</v>
      </c>
      <c r="B40" s="46" t="s">
        <v>22</v>
      </c>
      <c r="C40" s="45" t="s">
        <v>23</v>
      </c>
      <c r="D40" s="45" t="s">
        <v>24</v>
      </c>
    </row>
    <row r="41" spans="1:8" x14ac:dyDescent="0.25">
      <c r="A41" s="5" t="s">
        <v>28</v>
      </c>
      <c r="B41" s="4">
        <v>8</v>
      </c>
      <c r="C41" s="9"/>
      <c r="D41" s="9"/>
    </row>
    <row r="42" spans="1:8" x14ac:dyDescent="0.25">
      <c r="A42" s="1" t="s">
        <v>40</v>
      </c>
      <c r="B42" s="2">
        <v>1</v>
      </c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25</v>
      </c>
      <c r="B56" s="47">
        <f>SUM(B41:B55)</f>
        <v>9</v>
      </c>
      <c r="C56" s="118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20</v>
      </c>
      <c r="B58" s="43">
        <v>4</v>
      </c>
      <c r="C58" s="44" t="s">
        <v>26</v>
      </c>
      <c r="D58" s="53">
        <f>$D$39+7</f>
        <v>45551</v>
      </c>
    </row>
    <row r="59" spans="1:4" ht="27.75" thickBot="1" x14ac:dyDescent="0.3">
      <c r="A59" s="45" t="s">
        <v>21</v>
      </c>
      <c r="B59" s="46" t="s">
        <v>22</v>
      </c>
      <c r="C59" s="45" t="s">
        <v>23</v>
      </c>
      <c r="D59" s="45" t="s">
        <v>24</v>
      </c>
    </row>
    <row r="60" spans="1:4" x14ac:dyDescent="0.25">
      <c r="A60" s="5" t="s">
        <v>15</v>
      </c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25</v>
      </c>
      <c r="B75" s="47">
        <f>SUM(B60:B74)</f>
        <v>0</v>
      </c>
      <c r="C75" s="118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20</v>
      </c>
      <c r="B77" s="43">
        <v>5</v>
      </c>
      <c r="C77" s="44" t="s">
        <v>26</v>
      </c>
      <c r="D77" s="53">
        <f>$D$58+7</f>
        <v>45558</v>
      </c>
    </row>
    <row r="78" spans="1:4" ht="27.75" thickBot="1" x14ac:dyDescent="0.3">
      <c r="A78" s="45" t="s">
        <v>21</v>
      </c>
      <c r="B78" s="46" t="s">
        <v>22</v>
      </c>
      <c r="C78" s="45" t="s">
        <v>23</v>
      </c>
      <c r="D78" s="45" t="s">
        <v>24</v>
      </c>
    </row>
    <row r="79" spans="1:4" x14ac:dyDescent="0.25">
      <c r="A79" s="5" t="s">
        <v>40</v>
      </c>
      <c r="B79" s="4">
        <v>3</v>
      </c>
      <c r="C79" s="9"/>
      <c r="D79" s="9"/>
    </row>
    <row r="80" spans="1:4" x14ac:dyDescent="0.25">
      <c r="A80" s="1" t="s">
        <v>27</v>
      </c>
      <c r="B80" s="2">
        <v>5</v>
      </c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25</v>
      </c>
      <c r="B94" s="47">
        <f>SUM(B79:B93)</f>
        <v>8</v>
      </c>
      <c r="C94" s="118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20</v>
      </c>
      <c r="B96" s="43">
        <v>6</v>
      </c>
      <c r="C96" s="44" t="s">
        <v>26</v>
      </c>
      <c r="D96" s="53">
        <f>$D$77+7</f>
        <v>45565</v>
      </c>
    </row>
    <row r="97" spans="1:4" ht="27.75" thickBot="1" x14ac:dyDescent="0.3">
      <c r="A97" s="45" t="s">
        <v>21</v>
      </c>
      <c r="B97" s="46" t="s">
        <v>22</v>
      </c>
      <c r="C97" s="45" t="s">
        <v>23</v>
      </c>
      <c r="D97" s="45" t="s">
        <v>24</v>
      </c>
    </row>
    <row r="98" spans="1:4" x14ac:dyDescent="0.25">
      <c r="A98" s="5" t="s">
        <v>40</v>
      </c>
      <c r="B98" s="4">
        <v>9</v>
      </c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25</v>
      </c>
      <c r="B113" s="47">
        <f>SUM(B98:B112)</f>
        <v>9</v>
      </c>
      <c r="C113" s="118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20</v>
      </c>
      <c r="B115" s="43">
        <v>7</v>
      </c>
      <c r="C115" s="44" t="s">
        <v>26</v>
      </c>
      <c r="D115" s="53">
        <f>$D$96+7</f>
        <v>45572</v>
      </c>
    </row>
    <row r="116" spans="1:4" ht="27.75" thickBot="1" x14ac:dyDescent="0.3">
      <c r="A116" s="45" t="s">
        <v>21</v>
      </c>
      <c r="B116" s="46" t="s">
        <v>22</v>
      </c>
      <c r="C116" s="45" t="s">
        <v>23</v>
      </c>
      <c r="D116" s="45" t="s">
        <v>24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25</v>
      </c>
      <c r="B132" s="47">
        <f>SUM(B117:B131)</f>
        <v>0</v>
      </c>
      <c r="C132" s="118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20</v>
      </c>
      <c r="B134" s="43">
        <v>8</v>
      </c>
      <c r="C134" s="44" t="s">
        <v>26</v>
      </c>
      <c r="D134" s="53">
        <f>$D$115+7</f>
        <v>45579</v>
      </c>
    </row>
    <row r="135" spans="1:4" ht="27.75" thickBot="1" x14ac:dyDescent="0.3">
      <c r="A135" s="45" t="s">
        <v>21</v>
      </c>
      <c r="B135" s="46" t="s">
        <v>22</v>
      </c>
      <c r="C135" s="45" t="s">
        <v>23</v>
      </c>
      <c r="D135" s="45" t="s">
        <v>24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25</v>
      </c>
      <c r="B151" s="47">
        <f>SUM(B136:B150)</f>
        <v>0</v>
      </c>
      <c r="C151" s="118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117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C3E5F92-F0E3-4475-BF32-D808A999B27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24BE7709-E133-4A94-933C-D03A653EDFC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28CFA40E-0846-4FFC-86DA-4C5E6D653F5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01F6CF7-4B56-4EC2-8CEC-E80CA3BACBF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be71a9f-368a-4876-9c29-26a4f26a34a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6952629042AF4392ABFF79F1535A46" ma:contentTypeVersion="14" ma:contentTypeDescription="Crée un document." ma:contentTypeScope="" ma:versionID="d7dd7aa85c7a4bea358cc70cf63b29fd">
  <xsd:schema xmlns:xsd="http://www.w3.org/2001/XMLSchema" xmlns:xs="http://www.w3.org/2001/XMLSchema" xmlns:p="http://schemas.microsoft.com/office/2006/metadata/properties" xmlns:ns3="1be71a9f-368a-4876-9c29-26a4f26a34a2" xmlns:ns4="521153c6-29d6-40b2-abdc-15687e3d4d82" targetNamespace="http://schemas.microsoft.com/office/2006/metadata/properties" ma:root="true" ma:fieldsID="b3dc5af6f139d8eb84cf72c534ecba8f" ns3:_="" ns4:_="">
    <xsd:import namespace="1be71a9f-368a-4876-9c29-26a4f26a34a2"/>
    <xsd:import namespace="521153c6-29d6-40b2-abdc-15687e3d4d8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e71a9f-368a-4876-9c29-26a4f26a34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1153c6-29d6-40b2-abdc-15687e3d4d8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1be71a9f-368a-4876-9c29-26a4f26a34a2"/>
  </ds:schemaRefs>
</ds:datastoreItem>
</file>

<file path=customXml/itemProps3.xml><?xml version="1.0" encoding="utf-8"?>
<ds:datastoreItem xmlns:ds="http://schemas.openxmlformats.org/officeDocument/2006/customXml" ds:itemID="{3A77599E-708F-4B7E-BEE0-8FF072D634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e71a9f-368a-4876-9c29-26a4f26a34a2"/>
    <ds:schemaRef ds:uri="521153c6-29d6-40b2-abdc-15687e3d4d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Senna Cruz</dc:creator>
  <cp:keywords/>
  <dc:description/>
  <cp:lastModifiedBy>Senna Cruz</cp:lastModifiedBy>
  <cp:revision/>
  <dcterms:created xsi:type="dcterms:W3CDTF">1996-10-21T11:03:58Z</dcterms:created>
  <dcterms:modified xsi:type="dcterms:W3CDTF">2024-09-30T12:06:05Z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0x010100556952629042AF4392ABFF79F1535A46</vt:lpwstr>
  </property>
</Properties>
</file>